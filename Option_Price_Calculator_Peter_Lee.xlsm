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unsw-my.sharepoint.com/personal/z5418780_ad_unsw_edu_au/Documents/"/>
    </mc:Choice>
  </mc:AlternateContent>
  <xr:revisionPtr revIDLastSave="468" documentId="8_{B42D8E6A-0011-4398-8D1D-D8300AEFB9D0}" xr6:coauthVersionLast="47" xr6:coauthVersionMax="47" xr10:uidLastSave="{13BF8641-9452-4E68-A951-2B149726939B}"/>
  <bookViews>
    <workbookView xWindow="8190" yWindow="5630" windowWidth="28740" windowHeight="15350" firstSheet="1" activeTab="1" xr2:uid="{7C8699D5-0246-427A-BD87-E52B757940C9}"/>
  </bookViews>
  <sheets>
    <sheet name="Hidden" sheetId="3" state="hidden" r:id="rId1"/>
    <sheet name="Dashboar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B26" i="1"/>
  <c r="B23" i="1"/>
  <c r="B26" i="3"/>
  <c r="J14" i="3"/>
  <c r="C16" i="3"/>
  <c r="C17" i="3"/>
  <c r="C18" i="3"/>
  <c r="C19" i="3"/>
  <c r="C20" i="3"/>
  <c r="C21" i="3"/>
  <c r="C15" i="3"/>
  <c r="D16" i="3"/>
  <c r="D17" i="3"/>
  <c r="D18" i="3"/>
  <c r="D19" i="3"/>
  <c r="D20" i="3"/>
  <c r="D21" i="3"/>
  <c r="D15" i="3"/>
  <c r="C2" i="1"/>
  <c r="B8" i="3" a="1"/>
  <c r="C20" i="1" l="1"/>
  <c r="G15" i="3" s="1"/>
  <c r="B8" i="3"/>
  <c r="G16" i="3" l="1"/>
  <c r="G17" i="3"/>
  <c r="G18" i="3"/>
  <c r="G19" i="3"/>
  <c r="G20" i="3"/>
  <c r="G21" i="3"/>
  <c r="F15" i="3"/>
  <c r="F16" i="3"/>
  <c r="F17" i="3"/>
  <c r="F18" i="3"/>
  <c r="F19" i="3"/>
  <c r="F20" i="3"/>
  <c r="F21" i="3"/>
  <c r="E3" i="3"/>
  <c r="E4" i="3" s="1"/>
  <c r="C3" i="3" l="1"/>
  <c r="C4" i="3" l="1"/>
  <c r="F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<sst xmlns="http://schemas.openxmlformats.org/spreadsheetml/2006/main" count="40" uniqueCount="36">
  <si>
    <t>Ticker:</t>
  </si>
  <si>
    <t>ASX</t>
  </si>
  <si>
    <t>US</t>
  </si>
  <si>
    <t>https://au.finance.yahoo.com/quote/</t>
  </si>
  <si>
    <t>Link</t>
  </si>
  <si>
    <t>.AX</t>
  </si>
  <si>
    <t>.L</t>
  </si>
  <si>
    <t>Price</t>
  </si>
  <si>
    <t>Volatility:</t>
  </si>
  <si>
    <t>Strike Price:</t>
  </si>
  <si>
    <t>Expiry Date:</t>
  </si>
  <si>
    <t>Parameters</t>
  </si>
  <si>
    <t>Time</t>
  </si>
  <si>
    <t>Contract</t>
  </si>
  <si>
    <t>Vanilla</t>
  </si>
  <si>
    <t>Call</t>
  </si>
  <si>
    <t>Put</t>
  </si>
  <si>
    <t>Vanilla (European)</t>
  </si>
  <si>
    <t>d1</t>
  </si>
  <si>
    <t>d2</t>
  </si>
  <si>
    <t>Dividend Yield (p.a):</t>
  </si>
  <si>
    <t>Risk free Rate:</t>
  </si>
  <si>
    <t>C.I</t>
  </si>
  <si>
    <t>alpha</t>
  </si>
  <si>
    <t>LB</t>
  </si>
  <si>
    <t>UB</t>
  </si>
  <si>
    <t>Risk-Neutral Stock Price Projection</t>
  </si>
  <si>
    <t>Title</t>
  </si>
  <si>
    <t xml:space="preserve">Projection of </t>
  </si>
  <si>
    <t>Under Risk-neutral Geometric brownian motion framework</t>
  </si>
  <si>
    <t>GS</t>
  </si>
  <si>
    <t>Exchange (optional):</t>
  </si>
  <si>
    <t>Exchange</t>
  </si>
  <si>
    <t>London</t>
  </si>
  <si>
    <t>Contact me</t>
  </si>
  <si>
    <t>https://www.linkedin.com/in/peter-lee-902920231/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</si>
</sst>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_-[$$-C09]* #,##0.00_-;\-[$$-C09]* #,##0.00_-;_-[$$-C09]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4" fillId="0" borderId="2" applyNumberFormat="0" applyFill="0" applyAlignment="0" applyProtection="0"/>
    <xf numFmtId="0" fontId="1" fillId="4" borderId="3" applyNumberFormat="0" applyFont="0" applyAlignment="0" applyProtection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5" fillId="0" borderId="0" xfId="0" applyFont="1"/>
    <xf numFmtId="0" fontId="0" fillId="0" borderId="0" xfId="0" applyFont="1"/>
    <xf numFmtId="0" fontId="6" fillId="0" borderId="0" xfId="6"/>
    <xf numFmtId="0" fontId="0" fillId="0" borderId="4" xfId="0" applyBorder="1"/>
    <xf numFmtId="0" fontId="5" fillId="0" borderId="5" xfId="0" applyFont="1" applyBorder="1"/>
    <xf numFmtId="0" fontId="0" fillId="0" borderId="5" xfId="0" applyBorder="1"/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0" fontId="2" fillId="2" borderId="1" xfId="2" applyAlignment="1">
      <alignment horizontal="center"/>
    </xf>
    <xf numFmtId="0" fontId="3" fillId="3" borderId="1" xfId="3"/>
    <xf numFmtId="14" fontId="2" fillId="2" borderId="1" xfId="2" applyNumberFormat="1"/>
    <xf numFmtId="9" fontId="2" fillId="2" borderId="1" xfId="2" applyNumberFormat="1"/>
    <xf numFmtId="166" fontId="2" fillId="2" borderId="1" xfId="2" applyNumberFormat="1"/>
    <xf numFmtId="0" fontId="4" fillId="0" borderId="2" xfId="4"/>
    <xf numFmtId="22" fontId="0" fillId="4" borderId="3" xfId="5" applyNumberFormat="1" applyFont="1"/>
    <xf numFmtId="0" fontId="2" fillId="2" borderId="1" xfId="2"/>
  </cellXfs>
  <cellStyles count="7">
    <cellStyle name="Calculation" xfId="3" builtinId="22"/>
    <cellStyle name="Hyperlink" xfId="6" builtinId="8"/>
    <cellStyle name="Input" xfId="2" builtinId="20"/>
    <cellStyle name="Linked Cell" xfId="4" builtinId="24"/>
    <cellStyle name="Normal" xfId="0" builtinId="0"/>
    <cellStyle name="Note" xfId="5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microsoft.com/office/2017/06/relationships/rdRichValueTypes" Target="richData/rdRichValueTypes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Structure" Target="richData/rdsupportingpropertybagstructure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1.xml"/><Relationship Id="rId10" Type="http://schemas.microsoft.com/office/2017/06/relationships/richStyles" Target="richData/richStyles.xml"/><Relationship Id="rId4" Type="http://schemas.openxmlformats.org/officeDocument/2006/relationships/styles" Target="styles.xml"/><Relationship Id="rId9" Type="http://schemas.microsoft.com/office/2017/06/relationships/rdArray" Target="richData/rdarray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Hidden!$J$14</c:f>
          <c:strCache>
            <c:ptCount val="1"/>
            <c:pt idx="0">
              <c:v>Projection of  GS Under Risk-neutral Geometric brownian motion framework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Lower Bound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Hidden!$C$15:$C$21</c:f>
              <c:numCache>
                <c:formatCode>0.00%</c:formatCode>
                <c:ptCount val="7"/>
                <c:pt idx="0">
                  <c:v>0.92500000000000004</c:v>
                </c:pt>
                <c:pt idx="1">
                  <c:v>0.95</c:v>
                </c:pt>
                <c:pt idx="2">
                  <c:v>0.96</c:v>
                </c:pt>
                <c:pt idx="3">
                  <c:v>0.97499999999999998</c:v>
                </c:pt>
                <c:pt idx="4">
                  <c:v>0.98499999999999999</c:v>
                </c:pt>
                <c:pt idx="5">
                  <c:v>0.995</c:v>
                </c:pt>
                <c:pt idx="6">
                  <c:v>0.99750000000000005</c:v>
                </c:pt>
              </c:numCache>
            </c:numRef>
          </c:cat>
          <c:val>
            <c:numRef>
              <c:f>Hidden!$F$15:$F$21</c:f>
              <c:numCache>
                <c:formatCode>General</c:formatCode>
                <c:ptCount val="7"/>
                <c:pt idx="0">
                  <c:v>507.53747379060019</c:v>
                </c:pt>
                <c:pt idx="1">
                  <c:v>488.94436448821835</c:v>
                </c:pt>
                <c:pt idx="2">
                  <c:v>479.62824940516333</c:v>
                </c:pt>
                <c:pt idx="3">
                  <c:v>461.72544424666063</c:v>
                </c:pt>
                <c:pt idx="4">
                  <c:v>444.42233818138368</c:v>
                </c:pt>
                <c:pt idx="5">
                  <c:v>412.82480678289909</c:v>
                </c:pt>
                <c:pt idx="6">
                  <c:v>395.83473389772894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FB-479F-B5B1-14C74D47A21D}"/>
            </c:ext>
          </c:extLst>
        </c:ser>
        <c:ser>
          <c:idx val="1"/>
          <c:order val="1"/>
          <c:tx>
            <c:v>Upper Bound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Hidden!$G$15:$G$21</c:f>
              <c:numCache>
                <c:formatCode>General</c:formatCode>
                <c:ptCount val="7"/>
                <c:pt idx="0">
                  <c:v>856.54243534712066</c:v>
                </c:pt>
                <c:pt idx="1">
                  <c:v>889.11421299549772</c:v>
                </c:pt>
                <c:pt idx="2">
                  <c:v>906.38402631554027</c:v>
                </c:pt>
                <c:pt idx="3">
                  <c:v>941.527891190437</c:v>
                </c:pt>
                <c:pt idx="4">
                  <c:v>978.18526766559444</c:v>
                </c:pt>
                <c:pt idx="5">
                  <c:v>1053.0553801219251</c:v>
                </c:pt>
                <c:pt idx="6">
                  <c:v>1098.2547679680019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FB-479F-B5B1-14C74D47A21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717488"/>
        <c:axId val="123711728"/>
      </c:lineChart>
      <c:catAx>
        <c:axId val="12371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Confidence</a:t>
                </a:r>
                <a:r>
                  <a:rPr lang="en-AU" baseline="0"/>
                  <a:t> level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1728"/>
        <c:crosses val="autoZero"/>
        <c:auto val="1"/>
        <c:lblAlgn val="ctr"/>
        <c:lblOffset val="100"/>
        <c:noMultiLvlLbl val="0"/>
      </c:catAx>
      <c:valAx>
        <c:axId val="12371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</xdr:colOff>
      <xdr:row>4</xdr:row>
      <xdr:rowOff>152400</xdr:rowOff>
    </xdr:from>
    <xdr:to>
      <xdr:col>16</xdr:col>
      <xdr:colOff>507999</xdr:colOff>
      <xdr:row>21</xdr:row>
      <xdr:rowOff>158750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5AE3F2-5960-77CF-83AA-2647312A3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2">
    <v t="i">0</v>
    <v t="i">1</v>
  </a>
  <a r="1" c="2">
    <v>648.95000000000005</v>
    <v>660.55</v>
  </a>
</arrayData>
</file>

<file path=xl/richData/rdrichvalue.xml><?xml version="1.0" encoding="utf-8"?>
<rvData xmlns="http://schemas.microsoft.com/office/spreadsheetml/2017/richdata" count="5">
  <rv s="0">
    <fb>45701</fb>
    <v>0</v>
  </rv>
  <rv s="0">
    <fb>648.95000000000005</fb>
    <v>1</v>
  </rv>
  <rv s="0">
    <fb>45702</fb>
    <v>0</v>
  </rv>
  <rv s="0">
    <fb>660.55</fb>
    <v>1</v>
  </rv>
  <rv s="1">
    <v>2</v>
    <v>GS</v>
    <v>Daily</v>
    <v>45701</v>
    <v>45704</v>
    <v>0</v>
    <v>1</v>
    <v>638750880000000000,638753003350694385,0</v>
    <v>0</v>
    <v>a1u7xm</v>
    <v>XNYS:GS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0" formatCode="General"/>
    </x:dxf>
    <x:dxf>
      <x:numFmt numFmtId="19" formatCode="dd/mm/yyyy"/>
    </x:dxf>
  </dxfs>
  <richProperties>
    <rPr n="NumberFormat" t="s"/>
  </richProperties>
  <richStyles>
    <rSty dxfid="1"/>
    <rSty dxfid="0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2F50-855B-4FB3-8987-F5453C7CE6A0}">
  <dimension ref="B2:Q28"/>
  <sheetViews>
    <sheetView workbookViewId="0">
      <selection activeCell="B31" sqref="B31"/>
    </sheetView>
  </sheetViews>
  <sheetFormatPr defaultRowHeight="14.5" x14ac:dyDescent="0.35"/>
  <cols>
    <col min="2" max="2" width="17.7265625" customWidth="1"/>
    <col min="3" max="3" width="11.81640625" bestFit="1" customWidth="1"/>
    <col min="5" max="5" width="10.81640625" bestFit="1" customWidth="1"/>
    <col min="12" max="12" width="9.7265625" bestFit="1" customWidth="1"/>
  </cols>
  <sheetData>
    <row r="2" spans="2:17" x14ac:dyDescent="0.35">
      <c r="B2" s="1" t="s">
        <v>14</v>
      </c>
      <c r="C2" s="1"/>
      <c r="L2" s="1"/>
      <c r="Q2" s="2"/>
    </row>
    <row r="3" spans="2:17" x14ac:dyDescent="0.35">
      <c r="B3" t="s">
        <v>15</v>
      </c>
      <c r="C3" s="7">
        <f ca="1">Dashboard!C20*EXP(-Dashboard!C14*_xlfn.DAYS(Dashboard!C10,TODAY())/365)*_xlfn.NORM.S.DIST(Hidden!E3,TRUE)-Dashboard!C18*EXP(-Dashboard!C16*_xlfn.DAYS(Dashboard!C10,TODAY())/365)*_xlfn.NORM.S.DIST(Hidden!E4,TRUE)</f>
        <v>43.365138798652879</v>
      </c>
      <c r="D3" t="s">
        <v>18</v>
      </c>
      <c r="E3">
        <f ca="1">(LOG(Dashboard!C20/Dashboard!C18)+(Dashboard!C16-Dashboard!C14+1/2*Dashboard!C12^2)*((_xlfn.DAYS(Dashboard!C10,TODAY()))/365))/(Dashboard!C12*SQRT((_xlfn.DAYS(Dashboard!C10,TODAY())/365)))</f>
        <v>0.10233838839448366</v>
      </c>
    </row>
    <row r="4" spans="2:17" x14ac:dyDescent="0.35">
      <c r="B4" t="s">
        <v>16</v>
      </c>
      <c r="C4" s="7">
        <f ca="1">C3+Dashboard!C18*EXP(-Dashboard!C16*_xlfn.DAYS(Dashboard!C10,TODAY())/365)-Dashboard!C20*EXP(-Dashboard!C14*_xlfn.DAYS(Dashboard!C10,TODAY())/365)</f>
        <v>52.902347840299967</v>
      </c>
      <c r="D4" t="s">
        <v>19</v>
      </c>
      <c r="E4" s="7">
        <f ca="1">E3-Dashboard!C12*SQRT(_xlfn.DAYS(Dashboard!C10, TODAY())/365)</f>
        <v>-7.9433710373206637E-2</v>
      </c>
    </row>
    <row r="7" spans="2:17" x14ac:dyDescent="0.35">
      <c r="B7" s="1" t="s">
        <v>7</v>
      </c>
    </row>
    <row r="8" spans="2:17" x14ac:dyDescent="0.35">
      <c r="B8" s="4" t="str" cm="1">
        <f t="array" aca="1" ref="B8:C10" ca="1">_xlfn.STOCKHISTORY(Dashboard!C6,TODAY()-3,TODAY())</f>
        <v>Date</v>
      </c>
      <c r="C8" s="4" t="str">
        <f ca="1"/>
        <v>Close</v>
      </c>
    </row>
    <row r="9" spans="2:17" x14ac:dyDescent="0.35">
      <c r="B9" s="4" vm="1">
        <f ca="1"/>
        <v>45701</v>
      </c>
      <c r="C9" s="4" vm="2">
        <f ca="1"/>
        <v>648.95000000000005</v>
      </c>
    </row>
    <row r="10" spans="2:17" x14ac:dyDescent="0.35">
      <c r="B10" s="4" vm="3">
        <f ca="1"/>
        <v>45702</v>
      </c>
      <c r="C10" s="4" vm="4">
        <f ca="1"/>
        <v>660.55</v>
      </c>
    </row>
    <row r="11" spans="2:17" x14ac:dyDescent="0.35">
      <c r="B11" s="4"/>
      <c r="C11" s="4"/>
    </row>
    <row r="13" spans="2:17" x14ac:dyDescent="0.35">
      <c r="B13" s="1" t="s">
        <v>22</v>
      </c>
    </row>
    <row r="14" spans="2:17" ht="15" thickBot="1" x14ac:dyDescent="0.4">
      <c r="B14" s="5" t="s">
        <v>23</v>
      </c>
      <c r="C14" s="5"/>
      <c r="D14" s="5"/>
      <c r="F14" s="1" t="s">
        <v>24</v>
      </c>
      <c r="G14" s="1" t="s">
        <v>25</v>
      </c>
      <c r="I14" s="1" t="s">
        <v>27</v>
      </c>
      <c r="J14" t="str">
        <f>I15&amp;" "&amp;Dashboard!C6&amp;" "&amp;Hidden!I16</f>
        <v>Projection of  GS Under Risk-neutral Geometric brownian motion framework</v>
      </c>
    </row>
    <row r="15" spans="2:17" x14ac:dyDescent="0.35">
      <c r="B15" s="9">
        <v>0.15</v>
      </c>
      <c r="C15" s="10">
        <f>1-B15/2</f>
        <v>0.92500000000000004</v>
      </c>
      <c r="D15">
        <f>_xlfn.NORM.S.INV(C15)</f>
        <v>1.4395314709384563</v>
      </c>
      <c r="F15">
        <f ca="1">Dashboard!$C$20*EXP((Dashboard!$C$16-1/2*Dashboard!$C$12^2)*_xlfn.DAYS(Dashboard!$C$10,TODAY())/365-Hidden!$D15*Dashboard!$C$12*SQRT(_xlfn.DAYS(Dashboard!$C$10,TODAY())/365))</f>
        <v>507.53747379060019</v>
      </c>
      <c r="G15">
        <f ca="1">Dashboard!$C$20*EXP((Dashboard!$C$16-1/2*Dashboard!$C$12^2)*_xlfn.DAYS(Dashboard!$C$10,TODAY())/365+Hidden!$D15*Dashboard!$C$12*SQRT(_xlfn.DAYS(Dashboard!$C$10,TODAY())/365))</f>
        <v>856.54243534712066</v>
      </c>
      <c r="I15" t="s">
        <v>28</v>
      </c>
    </row>
    <row r="16" spans="2:17" x14ac:dyDescent="0.35">
      <c r="B16" s="9">
        <v>0.1</v>
      </c>
      <c r="C16" s="10">
        <f t="shared" ref="C16:C21" si="0">1-B16/2</f>
        <v>0.95</v>
      </c>
      <c r="D16">
        <f t="shared" ref="D16:D21" si="1">_xlfn.NORM.S.INV(C16)</f>
        <v>1.6448536269514715</v>
      </c>
      <c r="F16">
        <f ca="1">Dashboard!$C$20*EXP((Dashboard!$C$16-1/2*Dashboard!$C$12^2)*_xlfn.DAYS(Dashboard!$C$10,TODAY())/365-Hidden!$D16*Dashboard!$C$12*SQRT(_xlfn.DAYS(Dashboard!$C$10,TODAY())/365))</f>
        <v>488.94436448821835</v>
      </c>
      <c r="G16">
        <f ca="1">Dashboard!$C$20*EXP((Dashboard!$C$16-1/2*Dashboard!$C$12^2)*_xlfn.DAYS(Dashboard!$C$10,TODAY())/365+Hidden!$D16*Dashboard!$C$12*SQRT(_xlfn.DAYS(Dashboard!$C$10,TODAY())/365))</f>
        <v>889.11421299549772</v>
      </c>
      <c r="I16" t="s">
        <v>29</v>
      </c>
    </row>
    <row r="17" spans="2:7" x14ac:dyDescent="0.35">
      <c r="B17" s="9">
        <v>0.08</v>
      </c>
      <c r="C17" s="10">
        <f t="shared" si="0"/>
        <v>0.96</v>
      </c>
      <c r="D17">
        <f t="shared" si="1"/>
        <v>1.7506860712521695</v>
      </c>
      <c r="F17">
        <f ca="1">Dashboard!$C$20*EXP((Dashboard!$C$16-1/2*Dashboard!$C$12^2)*_xlfn.DAYS(Dashboard!$C$10,TODAY())/365-Hidden!$D17*Dashboard!$C$12*SQRT(_xlfn.DAYS(Dashboard!$C$10,TODAY())/365))</f>
        <v>479.62824940516333</v>
      </c>
      <c r="G17">
        <f ca="1">Dashboard!$C$20*EXP((Dashboard!$C$16-1/2*Dashboard!$C$12^2)*_xlfn.DAYS(Dashboard!$C$10,TODAY())/365+Hidden!$D17*Dashboard!$C$12*SQRT(_xlfn.DAYS(Dashboard!$C$10,TODAY())/365))</f>
        <v>906.38402631554027</v>
      </c>
    </row>
    <row r="18" spans="2:7" x14ac:dyDescent="0.35">
      <c r="B18" s="9">
        <v>0.05</v>
      </c>
      <c r="C18" s="10">
        <f t="shared" si="0"/>
        <v>0.97499999999999998</v>
      </c>
      <c r="D18">
        <f t="shared" si="1"/>
        <v>1.9599639845400536</v>
      </c>
      <c r="F18">
        <f ca="1">Dashboard!$C$20*EXP((Dashboard!$C$16-1/2*Dashboard!$C$12^2)*_xlfn.DAYS(Dashboard!$C$10,TODAY())/365-Hidden!$D18*Dashboard!$C$12*SQRT(_xlfn.DAYS(Dashboard!$C$10,TODAY())/365))</f>
        <v>461.72544424666063</v>
      </c>
      <c r="G18">
        <f ca="1">Dashboard!$C$20*EXP((Dashboard!$C$16-1/2*Dashboard!$C$12^2)*_xlfn.DAYS(Dashboard!$C$10,TODAY())/365+Hidden!$D18*Dashboard!$C$12*SQRT(_xlfn.DAYS(Dashboard!$C$10,TODAY())/365))</f>
        <v>941.527891190437</v>
      </c>
    </row>
    <row r="19" spans="2:7" x14ac:dyDescent="0.35">
      <c r="B19" s="9">
        <v>0.03</v>
      </c>
      <c r="C19" s="10">
        <f t="shared" si="0"/>
        <v>0.98499999999999999</v>
      </c>
      <c r="D19">
        <f t="shared" si="1"/>
        <v>2.1700903775845601</v>
      </c>
      <c r="F19">
        <f ca="1">Dashboard!$C$20*EXP((Dashboard!$C$16-1/2*Dashboard!$C$12^2)*_xlfn.DAYS(Dashboard!$C$10,TODAY())/365-Hidden!$D19*Dashboard!$C$12*SQRT(_xlfn.DAYS(Dashboard!$C$10,TODAY())/365))</f>
        <v>444.42233818138368</v>
      </c>
      <c r="G19">
        <f ca="1">Dashboard!$C$20*EXP((Dashboard!$C$16-1/2*Dashboard!$C$12^2)*_xlfn.DAYS(Dashboard!$C$10,TODAY())/365+Hidden!$D19*Dashboard!$C$12*SQRT(_xlfn.DAYS(Dashboard!$C$10,TODAY())/365))</f>
        <v>978.18526766559444</v>
      </c>
    </row>
    <row r="20" spans="2:7" x14ac:dyDescent="0.35">
      <c r="B20" s="9">
        <v>0.01</v>
      </c>
      <c r="C20" s="10">
        <f t="shared" si="0"/>
        <v>0.995</v>
      </c>
      <c r="D20">
        <f t="shared" si="1"/>
        <v>2.5758293035488999</v>
      </c>
      <c r="F20">
        <f ca="1">Dashboard!$C$20*EXP((Dashboard!$C$16-1/2*Dashboard!$C$12^2)*_xlfn.DAYS(Dashboard!$C$10,TODAY())/365-Hidden!$D20*Dashboard!$C$12*SQRT(_xlfn.DAYS(Dashboard!$C$10,TODAY())/365))</f>
        <v>412.82480678289909</v>
      </c>
      <c r="G20">
        <f ca="1">Dashboard!$C$20*EXP((Dashboard!$C$16-1/2*Dashboard!$C$12^2)*_xlfn.DAYS(Dashboard!$C$10,TODAY())/365+Hidden!$D20*Dashboard!$C$12*SQRT(_xlfn.DAYS(Dashboard!$C$10,TODAY())/365))</f>
        <v>1053.0553801219251</v>
      </c>
    </row>
    <row r="21" spans="2:7" x14ac:dyDescent="0.35">
      <c r="B21" s="8">
        <v>5.0000000000000001E-3</v>
      </c>
      <c r="C21" s="10">
        <f t="shared" si="0"/>
        <v>0.99750000000000005</v>
      </c>
      <c r="D21">
        <f t="shared" si="1"/>
        <v>2.8070337683438114</v>
      </c>
      <c r="F21">
        <f ca="1">Dashboard!$C$20*EXP((Dashboard!$C$16-1/2*Dashboard!$C$12^2)*_xlfn.DAYS(Dashboard!$C$10,TODAY())/365-Hidden!$D21*Dashboard!$C$12*SQRT(_xlfn.DAYS(Dashboard!$C$10,TODAY())/365))</f>
        <v>395.83473389772894</v>
      </c>
      <c r="G21">
        <f ca="1">Dashboard!$C$20*EXP((Dashboard!$C$16-1/2*Dashboard!$C$12^2)*_xlfn.DAYS(Dashboard!$C$10,TODAY())/365+Hidden!$D21*Dashboard!$C$12*SQRT(_xlfn.DAYS(Dashboard!$C$10,TODAY())/365))</f>
        <v>1098.2547679680019</v>
      </c>
    </row>
    <row r="24" spans="2:7" x14ac:dyDescent="0.35">
      <c r="B24" s="1" t="s">
        <v>4</v>
      </c>
      <c r="F24" s="1" t="s">
        <v>32</v>
      </c>
    </row>
    <row r="25" spans="2:7" x14ac:dyDescent="0.35">
      <c r="B25" t="s">
        <v>3</v>
      </c>
      <c r="F25" t="s">
        <v>1</v>
      </c>
      <c r="G25" t="s">
        <v>5</v>
      </c>
    </row>
    <row r="26" spans="2:7" x14ac:dyDescent="0.35">
      <c r="B26" t="str">
        <f>B25&amp;Dashboard!C6&amp;_xlfn.XLOOKUP(Dashboard!$C$8,Hidden!F25:F27,Hidden!G25:G27)</f>
        <v>https://au.finance.yahoo.com/quote/GS</v>
      </c>
      <c r="F26" t="s">
        <v>2</v>
      </c>
    </row>
    <row r="27" spans="2:7" x14ac:dyDescent="0.35">
      <c r="F27" t="s">
        <v>33</v>
      </c>
      <c r="G27" t="s">
        <v>6</v>
      </c>
    </row>
    <row r="28" spans="2:7" x14ac:dyDescent="0.35">
      <c r="B28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50C4F-1E6F-4477-BD96-5629C0F2F836}">
  <sheetPr codeName="Sheet1"/>
  <dimension ref="B2:Q26"/>
  <sheetViews>
    <sheetView tabSelected="1" workbookViewId="0">
      <selection activeCell="C29" sqref="C29"/>
    </sheetView>
  </sheetViews>
  <sheetFormatPr defaultRowHeight="14.5" x14ac:dyDescent="0.35"/>
  <cols>
    <col min="2" max="2" width="21.81640625" customWidth="1"/>
    <col min="3" max="3" width="15.08984375" bestFit="1" customWidth="1"/>
    <col min="7" max="7" width="10.08984375" bestFit="1" customWidth="1"/>
  </cols>
  <sheetData>
    <row r="2" spans="2:17" ht="15" thickBot="1" x14ac:dyDescent="0.4">
      <c r="B2" s="5" t="s">
        <v>12</v>
      </c>
      <c r="C2" s="17">
        <f ca="1">NOW()</f>
        <v>45704.920574074073</v>
      </c>
    </row>
    <row r="4" spans="2:17" ht="15" thickBot="1" x14ac:dyDescent="0.4">
      <c r="B4" s="5" t="s">
        <v>11</v>
      </c>
      <c r="C4" s="6"/>
      <c r="E4" s="5" t="s">
        <v>17</v>
      </c>
      <c r="F4" s="6"/>
      <c r="G4" s="6"/>
      <c r="I4" s="5" t="s">
        <v>26</v>
      </c>
      <c r="J4" s="6"/>
      <c r="K4" s="6"/>
      <c r="L4" s="6"/>
      <c r="M4" s="6"/>
      <c r="N4" s="6"/>
      <c r="O4" s="6"/>
      <c r="P4" s="6"/>
      <c r="Q4" s="6"/>
    </row>
    <row r="6" spans="2:17" x14ac:dyDescent="0.35">
      <c r="B6" s="1" t="s">
        <v>0</v>
      </c>
      <c r="C6" s="11" t="s">
        <v>30</v>
      </c>
      <c r="E6" s="1" t="s">
        <v>13</v>
      </c>
      <c r="F6" s="11" t="s">
        <v>15</v>
      </c>
    </row>
    <row r="7" spans="2:17" x14ac:dyDescent="0.35">
      <c r="B7" s="1"/>
      <c r="E7" s="1" t="s">
        <v>7</v>
      </c>
      <c r="F7" s="12">
        <f ca="1">MAX(_xlfn.XLOOKUP(F6,Hidden!B3:B4,Hidden!C3:C4),0)</f>
        <v>43.365138798652879</v>
      </c>
    </row>
    <row r="8" spans="2:17" x14ac:dyDescent="0.35">
      <c r="B8" s="1" t="s">
        <v>31</v>
      </c>
      <c r="C8" s="18" t="s">
        <v>2</v>
      </c>
    </row>
    <row r="10" spans="2:17" x14ac:dyDescent="0.35">
      <c r="B10" s="1" t="s">
        <v>10</v>
      </c>
      <c r="C10" s="13">
        <v>45838</v>
      </c>
    </row>
    <row r="11" spans="2:17" x14ac:dyDescent="0.35">
      <c r="G11" s="7"/>
    </row>
    <row r="12" spans="2:17" x14ac:dyDescent="0.35">
      <c r="B12" s="1" t="s">
        <v>8</v>
      </c>
      <c r="C12" s="14">
        <v>0.3</v>
      </c>
    </row>
    <row r="14" spans="2:17" x14ac:dyDescent="0.35">
      <c r="B14" s="1" t="s">
        <v>20</v>
      </c>
      <c r="C14" s="14">
        <v>0</v>
      </c>
    </row>
    <row r="16" spans="2:17" x14ac:dyDescent="0.35">
      <c r="B16" s="1" t="s">
        <v>21</v>
      </c>
      <c r="C16" s="14">
        <v>0.04</v>
      </c>
    </row>
    <row r="18" spans="2:3" x14ac:dyDescent="0.35">
      <c r="B18" s="1" t="s">
        <v>9</v>
      </c>
      <c r="C18" s="15">
        <v>680</v>
      </c>
    </row>
    <row r="20" spans="2:3" ht="15" thickBot="1" x14ac:dyDescent="0.4">
      <c r="B20" s="1" t="s">
        <v>7</v>
      </c>
      <c r="C20" s="16" vm="4">
        <f ca="1">INDEX(Hidden!B9:C11,MATCH(MAX(Hidden!B9:B11),Hidden!B9:B11,0),2)</f>
        <v>660.55</v>
      </c>
    </row>
    <row r="21" spans="2:3" ht="15" thickTop="1" x14ac:dyDescent="0.35"/>
    <row r="23" spans="2:3" x14ac:dyDescent="0.35">
      <c r="B23" s="1" t="str">
        <f>"Yahoo Finance link of"&amp;" "&amp;C6</f>
        <v>Yahoo Finance link of GS</v>
      </c>
    </row>
    <row r="24" spans="2:3" x14ac:dyDescent="0.35">
      <c r="B24" s="3" t="str">
        <f>HYPERLINK(Hidden!B26, "Visit "&amp;C6&amp;" on Yahoo Finance")</f>
        <v>Visit GS on Yahoo Finance</v>
      </c>
    </row>
    <row r="25" spans="2:3" x14ac:dyDescent="0.35">
      <c r="B25" s="1" t="s">
        <v>34</v>
      </c>
    </row>
    <row r="26" spans="2:3" x14ac:dyDescent="0.35">
      <c r="B26" s="3" t="str">
        <f>HYPERLINK(Hidden!B28, "Visit my LinkedIn!")</f>
        <v>Visit my LinkedIn!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FA5E8D-2269-4D43-BA13-6E94F7DA7CA4}">
          <x14:formula1>
            <xm:f>Hidden!$B$3:$B$4</xm:f>
          </x14:formula1>
          <xm:sqref>F6</xm:sqref>
        </x14:dataValidation>
        <x14:dataValidation type="list" allowBlank="1" showInputMessage="1" showErrorMessage="1" xr:uid="{CF88A4AA-C77F-4BD3-BA95-BBF7F2764F3E}">
          <x14:formula1>
            <xm:f>Hidden!$F$25:$F$27</xm:f>
          </x14:formula1>
          <xm:sqref>C8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C7260D-7114-457B-81FA-6FBE6C3558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Hidden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Lee</dc:creator>
  <cp:lastModifiedBy>Peter Lee</cp:lastModifiedBy>
  <dcterms:created xsi:type="dcterms:W3CDTF">2025-02-15T22:56:05Z</dcterms:created>
  <dcterms:modified xsi:type="dcterms:W3CDTF">2025-02-16T11:05:37Z</dcterms:modified>
</cp:coreProperties>
</file>